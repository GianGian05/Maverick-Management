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83c7b4135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Input" sheetId="1" r:id="R5576d757f4d14335"/>
    <x:sheet xmlns:r="http://schemas.openxmlformats.org/officeDocument/2006/relationships" name="Bidders" sheetId="2" r:id="Re2cf9dbbad1d4465"/>
    <x:sheet xmlns:r="http://schemas.openxmlformats.org/officeDocument/2006/relationships" name="Scope Configuration" sheetId="3" r:id="Rb80348d2976a4ef9"/>
    <x:sheet xmlns:r="http://schemas.openxmlformats.org/officeDocument/2006/relationships" name="Checks" sheetId="4" r:id="R2e818added1d44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1F2933"/>
      <x:name val="Carlito"/>
    </x:font>
    <x:font>
      <x:sz val="11"/>
      <x:color rgb="FF0000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5B63"/>
      </x:patternFill>
    </x:fill>
    <x:fill>
      <x:patternFill patternType="solid">
        <x:fgColor rgb="FFDCEBED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7C9CC"/>
      </x:left>
      <x:right style="thin">
        <x:color rgb="FFB7C9CC"/>
      </x:right>
      <x:top style="thin">
        <x:color rgb="FFB7C9CC"/>
      </x:top>
      <x:bottom style="thin">
        <x:color rgb="FFB7C9CC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00536e8e64de7" /><Relationship Type="http://schemas.openxmlformats.org/officeDocument/2006/relationships/theme" Target="/xl/theme/theme1.xml" Id="R0c52da3cacaa4d88" /><Relationship Type="http://schemas.openxmlformats.org/officeDocument/2006/relationships/sharedStrings" Target="/xl/sharedStrings.xml" Id="R9da7bdbc9d03427b" /><Relationship Type="http://schemas.openxmlformats.org/officeDocument/2006/relationships/worksheet" Target="/xl/worksheets/sheet1.xml" Id="R5576d757f4d14335" /><Relationship Type="http://schemas.openxmlformats.org/officeDocument/2006/relationships/worksheet" Target="/xl/worksheets/sheet2.xml" Id="Re2cf9dbbad1d4465" /><Relationship Type="http://schemas.openxmlformats.org/officeDocument/2006/relationships/worksheet" Target="/xl/worksheets/sheet3.xml" Id="Rb80348d2976a4ef9" /><Relationship Type="http://schemas.openxmlformats.org/officeDocument/2006/relationships/worksheet" Target="/xl/worksheets/sheet4.xml" Id="R2e818added1d44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5" hidden="0" customWidth="1"/>
    <x:col min="3" max="3" width="12" hidden="0" customWidth="1"/>
    <x:col min="4" max="4" width="56" hidden="0" customWidth="1"/>
  </x:cols>
  <x:sheetData>
    <x:row r="1" ht="30" customHeight="1">
      <x:c r="A1" s="4" t="str">
        <x:v>Maverick Roof Project Intake</x:v>
      </x:c>
      <x:c r="B1" s="4" t="str">
        <x:v>Maverick Roof Project Intake</x:v>
      </x:c>
      <x:c r="C1" s="4" t="str">
        <x:v>Maverick Roof Project Intake</x:v>
      </x:c>
      <x:c r="D1" s="4" t="str">
        <x:v>Maverick Roof Project Intake</x:v>
      </x:c>
    </x:row>
    <x:row r="2">
      <x:c r="A2" s="5" t="str">
        <x:v>Enter project information once. Yellow cells are editable; locked RFP language is not stored here.</x:v>
      </x:c>
      <x:c r="B2" s="5"/>
      <x:c r="C2" s="5"/>
      <x:c r="D2" s="5"/>
    </x:row>
    <x:row r="4">
      <x:c r="A4" s="10" t="str">
        <x:v>Field</x:v>
      </x:c>
      <x:c r="B4" s="10" t="str">
        <x:v>Value</x:v>
      </x:c>
      <x:c r="C4" s="10" t="str">
        <x:v>Required</x:v>
      </x:c>
      <x:c r="D4" s="10" t="str">
        <x:v>Instructions</x:v>
      </x:c>
    </x:row>
    <x:row r="5">
      <x:c r="A5" s="16" t="str">
        <x:v>Project name</x:v>
      </x:c>
      <x:c r="B5" s="17" t="str">
        <x:v>6820 Shingle Creek Pkwy Roof Recover</x:v>
      </x:c>
      <x:c r="C5" s="18" t="str">
        <x:v>Yes</x:v>
      </x:c>
      <x:c r="D5" s="16" t="str">
        <x:v>Displayed on the RFP and bid documents</x:v>
      </x:c>
    </x:row>
    <x:row r="6">
      <x:c r="A6" s="16" t="str">
        <x:v>Roof project type</x:v>
      </x:c>
      <x:c r="B6" s="17" t="str">
        <x:v>ROOF Recover</x:v>
      </x:c>
      <x:c r="C6" s="18" t="str">
        <x:v>Yes</x:v>
      </x:c>
      <x:c r="D6" s="16" t="str">
        <x:v>Example: Roof Recover or Roof Replacement</x:v>
      </x:c>
    </x:row>
    <x:row r="7">
      <x:c r="A7" s="16" t="str">
        <x:v>Owner entity</x:v>
      </x:c>
      <x:c r="B7" s="17" t="str">
        <x:v>GKI Industrial Minneapolis</x:v>
      </x:c>
      <x:c r="C7" s="18" t="str">
        <x:v>Yes</x:v>
      </x:c>
      <x:c r="D7" s="16" t="str">
        <x:v>Short owner name used in correspondence</x:v>
      </x:c>
    </x:row>
    <x:row r="8">
      <x:c r="A8" s="16" t="str">
        <x:v>Owner legal entity</x:v>
      </x:c>
      <x:c r="B8" s="17" t="str">
        <x:v>GKI Industrial Minneapolis, LLC</x:v>
      </x:c>
      <x:c r="C8" s="18" t="str">
        <x:v>Yes</x:v>
      </x:c>
      <x:c r="D8" s="16" t="str">
        <x:v>Exact legal entity used in agreements</x:v>
      </x:c>
    </x:row>
    <x:row r="9">
      <x:c r="A9" s="16" t="str">
        <x:v>Street address</x:v>
      </x:c>
      <x:c r="B9" s="17" t="str">
        <x:v>6820 Shingle Creek Pkwy</x:v>
      </x:c>
      <x:c r="C9" s="18" t="str">
        <x:v>Yes</x:v>
      </x:c>
      <x:c r="D9" s="16" t="str">
        <x:v>Do not include city/state/ZIP</x:v>
      </x:c>
    </x:row>
    <x:row r="10">
      <x:c r="A10" s="16" t="str">
        <x:v>City</x:v>
      </x:c>
      <x:c r="B10" s="17" t="str">
        <x:v>Minneapolis</x:v>
      </x:c>
      <x:c r="C10" s="18" t="str">
        <x:v>Yes</x:v>
      </x:c>
      <x:c r="D10" s="16" t="str"/>
    </x:row>
    <x:row r="11">
      <x:c r="A11" s="16" t="str">
        <x:v>State abbreviation</x:v>
      </x:c>
      <x:c r="B11" s="17" t="str">
        <x:v>MN</x:v>
      </x:c>
      <x:c r="C11" s="18" t="str">
        <x:v>Yes</x:v>
      </x:c>
      <x:c r="D11" s="16" t="str">
        <x:v>Two-letter abbreviation</x:v>
      </x:c>
    </x:row>
    <x:row r="12">
      <x:c r="A12" s="16" t="str">
        <x:v>ZIP code</x:v>
      </x:c>
      <x:c r="B12" s="17" t="str">
        <x:v>55430</x:v>
      </x:c>
      <x:c r="C12" s="18" t="str">
        <x:v>Yes</x:v>
      </x:c>
      <x:c r="D12" s="16" t="str">
        <x:v>Stored as text</x:v>
      </x:c>
    </x:row>
    <x:row r="13">
      <x:c r="A13" s="16" t="str">
        <x:v>Roof area (SF)</x:v>
      </x:c>
      <x:c r="B13" s="17" t="n">
        <x:v>146000</x:v>
      </x:c>
      <x:c r="C13" s="18" t="str">
        <x:v>Yes</x:v>
      </x:c>
      <x:c r="D13" s="16" t="str">
        <x:v>Numeric square footage</x:v>
      </x:c>
    </x:row>
    <x:row r="14">
      <x:c r="A14" s="16" t="str">
        <x:v>RFP issue date</x:v>
      </x:c>
      <x:c r="B14" s="17" t="str">
        <x:v>2026-03-23</x:v>
      </x:c>
      <x:c r="C14" s="18" t="str">
        <x:v>Yes</x:v>
      </x:c>
      <x:c r="D14" s="16" t="str">
        <x:v>YYYY-MM-DD</x:v>
      </x:c>
    </x:row>
    <x:row r="15">
      <x:c r="A15" s="16" t="str">
        <x:v>Job walk</x:v>
      </x:c>
      <x:c r="B15" s="17" t="str">
        <x:v>Schedule with MMG</x:v>
      </x:c>
      <x:c r="C15" s="18" t="str">
        <x:v>Yes</x:v>
      </x:c>
      <x:c r="D15" s="16" t="str">
        <x:v>Date/time or Schedule with MMG</x:v>
      </x:c>
    </x:row>
    <x:row r="16">
      <x:c r="A16" s="16" t="str">
        <x:v>Bid due</x:v>
      </x:c>
      <x:c r="B16" s="17" t="str">
        <x:v>2026-03-30 3:00 PM</x:v>
      </x:c>
      <x:c r="C16" s="18" t="str">
        <x:v>Yes</x:v>
      </x:c>
      <x:c r="D16" s="16" t="str">
        <x:v>Date and time</x:v>
      </x:c>
    </x:row>
    <x:row r="17">
      <x:c r="A17" s="16" t="str">
        <x:v>Bid validity (days)</x:v>
      </x:c>
      <x:c r="B17" s="17" t="n">
        <x:v>60</x:v>
      </x:c>
      <x:c r="C17" s="18" t="str">
        <x:v>Yes</x:v>
      </x:c>
      <x:c r="D17" s="16" t="str"/>
    </x:row>
    <x:row r="18">
      <x:c r="A18" s="16" t="str">
        <x:v>Required contractor license state</x:v>
      </x:c>
      <x:c r="B18" s="17" t="str">
        <x:v>Minnesota</x:v>
      </x:c>
      <x:c r="C18" s="18" t="str">
        <x:v>Yes</x:v>
      </x:c>
      <x:c r="D18" s="16" t="str">
        <x:v>Must match project state</x:v>
      </x:c>
    </x:row>
    <x:row r="19">
      <x:c r="A19" s="16" t="str">
        <x:v>Primary MMG contact</x:v>
      </x:c>
      <x:c r="B19" s="17" t="str">
        <x:v>Fred Tuck</x:v>
      </x:c>
      <x:c r="C19" s="18" t="str">
        <x:v>Yes</x:v>
      </x:c>
      <x:c r="D19" s="16" t="str"/>
    </x:row>
    <x:row r="20">
      <x:c r="A20" s="16" t="str">
        <x:v>Primary contact email</x:v>
      </x:c>
      <x:c r="B20" s="17" t="str">
        <x:v>fredtuck@trustmaverick.com</x:v>
      </x:c>
      <x:c r="C20" s="18" t="str">
        <x:v>Yes</x:v>
      </x:c>
      <x:c r="D20" s="16" t="str"/>
    </x:row>
    <x:row r="21">
      <x:c r="A21" s="16" t="str">
        <x:v>Copy emails</x:v>
      </x:c>
      <x:c r="B21" s="17" t="str">
        <x:v>lspongberg@trustmaverick.com; tgrimes@trustmaverick.com; yliu@trustmaverick.com</x:v>
      </x:c>
      <x:c r="C21" s="18" t="str">
        <x:v>No</x:v>
      </x:c>
      <x:c r="D21" s="16" t="str">
        <x:v>Separate with semicolons</x:v>
      </x:c>
    </x:row>
    <x:row r="22">
      <x:c r="A22" s="16" t="str">
        <x:v>MMG mailing address</x:v>
      </x:c>
      <x:c r="B22" s="17" t="str">
        <x:v>57 Old Post Rd #2, Suite 202, Greenwich, CT 06830</x:v>
      </x:c>
      <x:c r="C22" s="18" t="str">
        <x:v>Yes</x:v>
      </x:c>
      <x:c r="D22" s="16" t="str">
        <x:v>Locked default unless MMG changes offices</x:v>
      </x:c>
    </x:row>
    <x:row r="23">
      <x:c r="A23" s="16" t="str">
        <x:v>Base bid Option A</x:v>
      </x:c>
      <x:c r="B23" s="17" t="str">
        <x:v>20-year 60mil TPO RhinoBond</x:v>
      </x:c>
      <x:c r="C23" s="18" t="str">
        <x:v>Yes</x:v>
      </x:c>
      <x:c r="D23" s="16" t="str"/>
    </x:row>
    <x:row r="24">
      <x:c r="A24" s="16" t="str">
        <x:v>Base bid Option B</x:v>
      </x:c>
      <x:c r="B24" s="17" t="str">
        <x:v>20-year 60mil TPO Mechanically Fastened</x:v>
      </x:c>
      <x:c r="C24" s="18" t="str">
        <x:v>Yes</x:v>
      </x:c>
      <x:c r="D24" s="16" t="str"/>
    </x:row>
    <x:row r="25">
      <x:c r="A25" s="16" t="str">
        <x:v>Manufacturer warranty</x:v>
      </x:c>
      <x:c r="B25" s="17" t="str">
        <x:v>20-year labor and material NDL</x:v>
      </x:c>
      <x:c r="C25" s="18" t="str">
        <x:v>Yes</x:v>
      </x:c>
      <x:c r="D25" s="16" t="str"/>
    </x:row>
    <x:row r="26">
      <x:c r="A26" s="16" t="str">
        <x:v>Contractor workmanship warranty</x:v>
      </x:c>
      <x:c r="B26" s="17" t="str">
        <x:v>2 years</x:v>
      </x:c>
      <x:c r="C26" s="18" t="str">
        <x:v>Yes</x:v>
      </x:c>
      <x:c r="D26" s="16" t="str"/>
    </x:row>
    <x:row r="27">
      <x:c r="A27" s="16" t="str">
        <x:v>Liability coverage</x:v>
      </x:c>
      <x:c r="B27" s="17" t="n">
        <x:v>5000000</x:v>
      </x:c>
      <x:c r="C27" s="18" t="str">
        <x:v>Yes</x:v>
      </x:c>
      <x:c r="D27" s="16" t="str">
        <x:v>Insurance requirement; change only when approved</x:v>
      </x:c>
    </x:row>
    <x:row r="28">
      <x:c r="A28" s="16" t="str">
        <x:v>Cover image path</x:v>
      </x:c>
      <x:c r="B28" s="17" t="str"/>
      <x:c r="C28" s="18" t="str">
        <x:v>No</x:v>
      </x:c>
      <x:c r="D28" s="16" t="str">
        <x:v>Optional local PNG/JPG path</x:v>
      </x:c>
    </x:row>
    <x:row r="29">
      <x:c r="A29" s="16" t="str">
        <x:v>Locked RFP template path</x:v>
      </x:c>
      <x:c r="B29" s="17" t="str">
        <x:v>templates/Roof_RFP_Master_Template.docx</x:v>
      </x:c>
      <x:c r="C29" s="18" t="str">
        <x:v>Yes</x:v>
      </x:c>
      <x:c r="D29" s="16" t="str">
        <x:v>Do not edit legal language in the generated template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24" hidden="0" customWidth="1"/>
    <x:col min="4" max="4" width="34" hidden="0" customWidth="1"/>
    <x:col min="5" max="5" width="19" hidden="0" customWidth="1"/>
    <x:col min="6" max="6" width="16" hidden="0" customWidth="1"/>
  </x:cols>
  <x:sheetData>
    <x:row r="1" ht="30" customHeight="1">
      <x:c r="A1" s="4" t="str">
        <x:v>Invited Bidders</x:v>
      </x:c>
      <x:c r="B1" s="4" t="str">
        <x:v>Invited Bidders</x:v>
      </x:c>
      <x:c r="C1" s="4" t="str">
        <x:v>Invited Bidders</x:v>
      </x:c>
      <x:c r="D1" s="4" t="str">
        <x:v>Invited Bidders</x:v>
      </x:c>
      <x:c r="E1" s="4" t="str">
        <x:v>Invited Bidders</x:v>
      </x:c>
      <x:c r="F1" s="4" t="str">
        <x:v>Invited Bidders</x:v>
      </x:c>
    </x:row>
    <x:row r="3">
      <x:c r="A3" s="10" t="str">
        <x:v>Bidder #</x:v>
      </x:c>
      <x:c r="B3" s="10" t="str">
        <x:v>Company</x:v>
      </x:c>
      <x:c r="C3" s="10" t="str">
        <x:v>Contact</x:v>
      </x:c>
      <x:c r="D3" s="10" t="str">
        <x:v>Email</x:v>
      </x:c>
      <x:c r="E3" s="10" t="str">
        <x:v>Telephone</x:v>
      </x:c>
      <x:c r="F3" s="10" t="str">
        <x:v>Invited? (Y/N)</x:v>
      </x:c>
    </x:row>
    <x:row r="4">
      <x:c r="A4" s="12" t="n">
        <x:v>1</x:v>
      </x:c>
      <x:c r="B4" s="14" t="str"/>
      <x:c r="C4" s="14" t="str"/>
      <x:c r="D4" s="14" t="str"/>
      <x:c r="E4" s="14" t="str"/>
      <x:c r="F4" s="14" t="str">
        <x:v>Y</x:v>
      </x:c>
    </x:row>
    <x:row r="5">
      <x:c r="A5" s="12" t="n">
        <x:v>2</x:v>
      </x:c>
      <x:c r="B5" s="14" t="str"/>
      <x:c r="C5" s="14" t="str"/>
      <x:c r="D5" s="14" t="str"/>
      <x:c r="E5" s="14" t="str"/>
      <x:c r="F5" s="14" t="str">
        <x:v>Y</x:v>
      </x:c>
    </x:row>
    <x:row r="6">
      <x:c r="A6" s="12" t="n">
        <x:v>3</x:v>
      </x:c>
      <x:c r="B6" s="14" t="str"/>
      <x:c r="C6" s="14" t="str"/>
      <x:c r="D6" s="14" t="str"/>
      <x:c r="E6" s="14" t="str"/>
      <x:c r="F6" s="14" t="str">
        <x:v>Y</x:v>
      </x:c>
    </x:row>
    <x:row r="7">
      <x:c r="A7" s="12" t="n">
        <x:v>4</x:v>
      </x:c>
      <x:c r="B7" s="14" t="str"/>
      <x:c r="C7" s="14" t="str"/>
      <x:c r="D7" s="14" t="str"/>
      <x:c r="E7" s="14" t="str"/>
      <x:c r="F7" s="14" t="str">
        <x:v>Y</x:v>
      </x:c>
    </x:row>
    <x:row r="8">
      <x:c r="A8" s="12" t="n">
        <x:v>5</x:v>
      </x:c>
      <x:c r="B8" s="14" t="str"/>
      <x:c r="C8" s="14" t="str"/>
      <x:c r="D8" s="14" t="str"/>
      <x:c r="E8" s="14" t="str"/>
      <x:c r="F8" s="14" t="str">
        <x:v>N</x:v>
      </x:c>
    </x:row>
    <x:row r="9">
      <x:c r="A9" s="12" t="n">
        <x:v>6</x:v>
      </x:c>
      <x:c r="B9" s="14" t="str"/>
      <x:c r="C9" s="14" t="str"/>
      <x:c r="D9" s="14" t="str"/>
      <x:c r="E9" s="14" t="str"/>
      <x:c r="F9" s="14" t="str">
        <x:v>N</x:v>
      </x:c>
    </x:row>
    <x:row r="10">
      <x:c r="A10" s="12" t="n">
        <x:v>7</x:v>
      </x:c>
      <x:c r="B10" s="14" t="str"/>
      <x:c r="C10" s="14" t="str"/>
      <x:c r="D10" s="14" t="str"/>
      <x:c r="E10" s="14" t="str"/>
      <x:c r="F10" s="14" t="str">
        <x:v>N</x:v>
      </x:c>
    </x:row>
    <x:row r="11">
      <x:c r="A11" s="12" t="n">
        <x:v>8</x:v>
      </x:c>
      <x:c r="B11" s="14" t="str"/>
      <x:c r="C11" s="14" t="str"/>
      <x:c r="D11" s="14" t="str"/>
      <x:c r="E11" s="14" t="str"/>
      <x:c r="F11" s="14" t="str">
        <x:v>N</x:v>
      </x:c>
    </x:row>
  </x:sheetData>
  <x:mergeCells>
    <x:mergeCell ref="A1:F1"/>
  </x:mergeCells>
  <x:dataValidations count="1">
    <x:dataValidation type="list" sqref="F4:F11">
      <x:formula1>"Y,N"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72" hidden="0" customWidth="1"/>
    <x:col min="4" max="4" width="18" hidden="0" customWidth="1"/>
    <x:col min="5" max="5" width="44" hidden="0" customWidth="1"/>
  </x:cols>
  <x:sheetData>
    <x:row r="1" ht="30" customHeight="1">
      <x:c r="A1" s="4" t="str">
        <x:v>Roof Scope Configuration</x:v>
      </x:c>
      <x:c r="B1" s="4" t="str">
        <x:v>Roof Scope Configuration</x:v>
      </x:c>
      <x:c r="C1" s="4" t="str">
        <x:v>Roof Scope Configuration</x:v>
      </x:c>
      <x:c r="D1" s="4" t="str">
        <x:v>Roof Scope Configuration</x:v>
      </x:c>
      <x:c r="E1" s="4" t="str">
        <x:v>Roof Scope Configuration</x:v>
      </x:c>
    </x:row>
    <x:row r="2">
      <x:c r="A2" t="str">
        <x:v>The scope list feeds both the contractor bid form and bid leveling. Use Y/N; do not delete rows.</x:v>
      </x:c>
      <x:c r="B2"/>
      <x:c r="C2"/>
      <x:c r="D2"/>
      <x:c r="E2"/>
    </x:row>
    <x:row r="4">
      <x:c r="A4" s="10" t="str">
        <x:v>Ref.</x:v>
      </x:c>
      <x:c r="B4" s="10" t="str">
        <x:v>Include? (Y/N)</x:v>
      </x:c>
      <x:c r="C4" s="10" t="str">
        <x:v>Item description</x:v>
      </x:c>
      <x:c r="D4" s="10" t="str">
        <x:v>Category</x:v>
      </x:c>
      <x:c r="E4" s="10" t="str">
        <x:v>Project-specific note</x:v>
      </x:c>
    </x:row>
    <x:row r="5">
      <x:c r="A5" s="16" t="n">
        <x:v>1</x:v>
      </x:c>
      <x:c r="B5" s="17" t="str">
        <x:v>Y</x:v>
      </x:c>
      <x:c r="C5" s="16" t="str">
        <x:v>Pre-job inspection with building owner</x:v>
      </x:c>
      <x:c r="D5" s="16" t="str">
        <x:v>Base Scope</x:v>
      </x:c>
      <x:c r="E5" s="17" t="str"/>
    </x:row>
    <x:row r="6">
      <x:c r="A6" s="16" t="n">
        <x:v>2</x:v>
      </x:c>
      <x:c r="B6" s="17" t="str">
        <x:v>Y</x:v>
      </x:c>
      <x:c r="C6" s="16" t="str">
        <x:v>Full-time superintendent</x:v>
      </x:c>
      <x:c r="D6" s="16" t="str">
        <x:v>Base Scope</x:v>
      </x:c>
      <x:c r="E6" s="17" t="str"/>
    </x:row>
    <x:row r="7">
      <x:c r="A7" s="16" t="n">
        <x:v>3</x:v>
      </x:c>
      <x:c r="B7" s="17" t="str">
        <x:v>Y</x:v>
      </x:c>
      <x:c r="C7" s="16" t="str">
        <x:v>Contact information sheet</x:v>
      </x:c>
      <x:c r="D7" s="16" t="str">
        <x:v>Base Scope</x:v>
      </x:c>
      <x:c r="E7" s="17" t="str"/>
    </x:row>
    <x:row r="8">
      <x:c r="A8" s="16" t="n">
        <x:v>4</x:v>
      </x:c>
      <x:c r="B8" s="17" t="str">
        <x:v>Y</x:v>
      </x:c>
      <x:c r="C8" s="16" t="str">
        <x:v>Submittals</x:v>
      </x:c>
      <x:c r="D8" s="16" t="str">
        <x:v>Base Scope</x:v>
      </x:c>
      <x:c r="E8" s="17" t="str"/>
    </x:row>
    <x:row r="9">
      <x:c r="A9" s="16" t="n">
        <x:v>5</x:v>
      </x:c>
      <x:c r="B9" s="17" t="str">
        <x:v>Y</x:v>
      </x:c>
      <x:c r="C9" s="16" t="str">
        <x:v>Produce and maintain schedule</x:v>
      </x:c>
      <x:c r="D9" s="16" t="str">
        <x:v>Base Scope</x:v>
      </x:c>
      <x:c r="E9" s="17" t="str"/>
    </x:row>
    <x:row r="10">
      <x:c r="A10" s="16" t="n">
        <x:v>6</x:v>
      </x:c>
      <x:c r="B10" s="17" t="str">
        <x:v>Y</x:v>
      </x:c>
      <x:c r="C10" s="16" t="str">
        <x:v>Phasing and sequencing plan</x:v>
      </x:c>
      <x:c r="D10" s="16" t="str">
        <x:v>Base Scope</x:v>
      </x:c>
      <x:c r="E10" s="17" t="str"/>
    </x:row>
    <x:row r="11">
      <x:c r="A11" s="16" t="n">
        <x:v>7</x:v>
      </x:c>
      <x:c r="B11" s="17" t="str">
        <x:v>Y</x:v>
      </x:c>
      <x:c r="C11" s="16" t="str">
        <x:v>Staging plan</x:v>
      </x:c>
      <x:c r="D11" s="16" t="str">
        <x:v>Base Scope</x:v>
      </x:c>
      <x:c r="E11" s="17" t="str"/>
    </x:row>
    <x:row r="12">
      <x:c r="A12" s="16" t="n">
        <x:v>8</x:v>
      </x:c>
      <x:c r="B12" s="17" t="str">
        <x:v>Y</x:v>
      </x:c>
      <x:c r="C12" s="16" t="str">
        <x:v>New roof drains and assemblies</x:v>
      </x:c>
      <x:c r="D12" s="16" t="str">
        <x:v>Base Scope</x:v>
      </x:c>
      <x:c r="E12" s="17" t="str"/>
    </x:row>
    <x:row r="13">
      <x:c r="A13" s="16" t="n">
        <x:v>9</x:v>
      </x:c>
      <x:c r="B13" s="17" t="str">
        <x:v>Y</x:v>
      </x:c>
      <x:c r="C13" s="16" t="str">
        <x:v>Overflows</x:v>
      </x:c>
      <x:c r="D13" s="16" t="str">
        <x:v>Base Scope</x:v>
      </x:c>
      <x:c r="E13" s="17" t="str"/>
    </x:row>
    <x:row r="14">
      <x:c r="A14" s="16" t="n">
        <x:v>10</x:v>
      </x:c>
      <x:c r="B14" s="17" t="str">
        <x:v>Y</x:v>
      </x:c>
      <x:c r="C14" s="16" t="str">
        <x:v>Scope covers all field areas</x:v>
      </x:c>
      <x:c r="D14" s="16" t="str">
        <x:v>Base Scope</x:v>
      </x:c>
      <x:c r="E14" s="17" t="str"/>
    </x:row>
    <x:row r="15">
      <x:c r="A15" s="16" t="n">
        <x:v>11</x:v>
      </x:c>
      <x:c r="B15" s="17" t="str">
        <x:v>Y</x:v>
      </x:c>
      <x:c r="C15" s="16" t="str">
        <x:v>Pitch pockets</x:v>
      </x:c>
      <x:c r="D15" s="16" t="str">
        <x:v>Base Scope</x:v>
      </x:c>
      <x:c r="E15" s="17" t="str"/>
    </x:row>
    <x:row r="16">
      <x:c r="A16" s="16" t="n">
        <x:v>12</x:v>
      </x:c>
      <x:c r="B16" s="17" t="str">
        <x:v>Y</x:v>
      </x:c>
      <x:c r="C16" s="16" t="str">
        <x:v>Gravel removal</x:v>
      </x:c>
      <x:c r="D16" s="16" t="str">
        <x:v>Base Scope</x:v>
      </x:c>
      <x:c r="E16" s="17" t="str"/>
    </x:row>
    <x:row r="17">
      <x:c r="A17" s="16" t="n">
        <x:v>13</x:v>
      </x:c>
      <x:c r="B17" s="17" t="str">
        <x:v>Y</x:v>
      </x:c>
      <x:c r="C17" s="16" t="str">
        <x:v>60mil TPO membrane</x:v>
      </x:c>
      <x:c r="D17" s="16" t="str">
        <x:v>Base Scope</x:v>
      </x:c>
      <x:c r="E17" s="17" t="str"/>
    </x:row>
    <x:row r="18">
      <x:c r="A18" s="16" t="n">
        <x:v>14</x:v>
      </x:c>
      <x:c r="B18" s="17" t="str">
        <x:v>Y</x:v>
      </x:c>
      <x:c r="C18" s="16" t="str">
        <x:v>1-inch ISO</x:v>
      </x:c>
      <x:c r="D18" s="16" t="str">
        <x:v>Base Scope</x:v>
      </x:c>
      <x:c r="E18" s="17" t="str"/>
    </x:row>
    <x:row r="19">
      <x:c r="A19" s="16" t="n">
        <x:v>15</x:v>
      </x:c>
      <x:c r="B19" s="17" t="str">
        <x:v>Y</x:v>
      </x:c>
      <x:c r="C19" s="16" t="str">
        <x:v>Option A: RhinoBond plate/fastener; Option B: mechanically attached plate/fastener</x:v>
      </x:c>
      <x:c r="D19" s="16" t="str">
        <x:v>Base Scope</x:v>
      </x:c>
      <x:c r="E19" s="17" t="str"/>
    </x:row>
    <x:row r="20">
      <x:c r="A20" s="16" t="n">
        <x:v>16</x:v>
      </x:c>
      <x:c r="B20" s="17" t="str">
        <x:v>Y</x:v>
      </x:c>
      <x:c r="C20" s="16" t="str">
        <x:v>Manufacturer periodic inspections</x:v>
      </x:c>
      <x:c r="D20" s="16" t="str">
        <x:v>Base Scope</x:v>
      </x:c>
      <x:c r="E20" s="17" t="str"/>
    </x:row>
    <x:row r="21">
      <x:c r="A21" s="16" t="n">
        <x:v>17</x:v>
      </x:c>
      <x:c r="B21" s="17" t="str">
        <x:v>Y</x:v>
      </x:c>
      <x:c r="C21" s="16" t="str">
        <x:v>Warranty transferable at no cost</x:v>
      </x:c>
      <x:c r="D21" s="16" t="str">
        <x:v>Base Scope</x:v>
      </x:c>
      <x:c r="E21" s="17" t="str"/>
    </x:row>
    <x:row r="22">
      <x:c r="A22" s="16" t="n">
        <x:v>18</x:v>
      </x:c>
      <x:c r="B22" s="17" t="str">
        <x:v>Y</x:v>
      </x:c>
      <x:c r="C22" s="16" t="str">
        <x:v>20-year TPO manufacturer labor and material NDL warranty</x:v>
      </x:c>
      <x:c r="D22" s="16" t="str">
        <x:v>Base Scope</x:v>
      </x:c>
      <x:c r="E22" s="17" t="str"/>
    </x:row>
    <x:row r="23">
      <x:c r="A23" s="16" t="n">
        <x:v>19</x:v>
      </x:c>
      <x:c r="B23" s="17" t="str">
        <x:v>Y</x:v>
      </x:c>
      <x:c r="C23" s="16" t="str">
        <x:v>2-year contractor workmanship warranty</x:v>
      </x:c>
      <x:c r="D23" s="16" t="str">
        <x:v>Base Scope</x:v>
      </x:c>
      <x:c r="E23" s="17" t="str"/>
    </x:row>
    <x:row r="24">
      <x:c r="A24" s="16" t="n">
        <x:v>20</x:v>
      </x:c>
      <x:c r="B24" s="17" t="str">
        <x:v>Y</x:v>
      </x:c>
      <x:c r="C24" s="16" t="str">
        <x:v>Condensate-line support / OMG Pipeguards</x:v>
      </x:c>
      <x:c r="D24" s="16" t="str">
        <x:v>Base Scope</x:v>
      </x:c>
      <x:c r="E24" s="17" t="str"/>
    </x:row>
    <x:row r="25">
      <x:c r="A25" s="16" t="n">
        <x:v>21</x:v>
      </x:c>
      <x:c r="B25" s="17" t="str">
        <x:v>Y</x:v>
      </x:c>
      <x:c r="C25" s="16" t="str">
        <x:v>Electrical-line and gas-line support / OMG Pipeguards</x:v>
      </x:c>
      <x:c r="D25" s="16" t="str">
        <x:v>Base Scope</x:v>
      </x:c>
      <x:c r="E25" s="17" t="str"/>
    </x:row>
    <x:row r="26">
      <x:c r="A26" s="16" t="n">
        <x:v>22</x:v>
      </x:c>
      <x:c r="B26" s="17" t="str">
        <x:v>Y</x:v>
      </x:c>
      <x:c r="C26" s="16" t="str">
        <x:v>All MEP-related work required to complete roof project</x:v>
      </x:c>
      <x:c r="D26" s="16" t="str">
        <x:v>Base Scope</x:v>
      </x:c>
      <x:c r="E26" s="17" t="str"/>
    </x:row>
    <x:row r="27">
      <x:c r="A27" s="16" t="n">
        <x:v>23</x:v>
      </x:c>
      <x:c r="B27" s="17" t="str">
        <x:v>Y</x:v>
      </x:c>
      <x:c r="C27" s="16" t="str">
        <x:v>Permits</x:v>
      </x:c>
      <x:c r="D27" s="16" t="str">
        <x:v>Base Scope</x:v>
      </x:c>
      <x:c r="E27" s="17" t="str"/>
    </x:row>
    <x:row r="28">
      <x:c r="A28" s="16" t="n">
        <x:v>24</x:v>
      </x:c>
      <x:c r="B28" s="17" t="str">
        <x:v>Y</x:v>
      </x:c>
      <x:c r="C28" s="16" t="str">
        <x:v>Secure kettles and rooftop equipment</x:v>
      </x:c>
      <x:c r="D28" s="16" t="str">
        <x:v>Base Scope</x:v>
      </x:c>
      <x:c r="E28" s="17" t="str"/>
    </x:row>
    <x:row r="29">
      <x:c r="A29" s="16" t="n">
        <x:v>25</x:v>
      </x:c>
      <x:c r="B29" s="17" t="str">
        <x:v>Y</x:v>
      </x:c>
      <x:c r="C29" s="16" t="str">
        <x:v>Daily site cleaning and proper debris disposal</x:v>
      </x:c>
      <x:c r="D29" s="16" t="str">
        <x:v>Base Scope</x:v>
      </x:c>
      <x:c r="E29" s="17" t="str"/>
    </x:row>
    <x:row r="30">
      <x:c r="A30" s="16" t="n">
        <x:v>26</x:v>
      </x:c>
      <x:c r="B30" s="17" t="str">
        <x:v>Y</x:v>
      </x:c>
      <x:c r="C30" s="16" t="str">
        <x:v>Contractor schedule before work begins</x:v>
      </x:c>
      <x:c r="D30" s="16" t="str">
        <x:v>Base Scope</x:v>
      </x:c>
      <x:c r="E30" s="17" t="str"/>
    </x:row>
    <x:row r="31">
      <x:c r="A31" s="16" t="n">
        <x:v>27</x:v>
      </x:c>
      <x:c r="B31" s="17" t="str">
        <x:v>Y</x:v>
      </x:c>
      <x:c r="C31" s="16" t="str">
        <x:v>Temporary waterproof tie-in at end of each day</x:v>
      </x:c>
      <x:c r="D31" s="16" t="str">
        <x:v>Base Scope</x:v>
      </x:c>
      <x:c r="E31" s="17" t="str"/>
    </x:row>
    <x:row r="32">
      <x:c r="A32" s="16" t="n">
        <x:v>28</x:v>
      </x:c>
      <x:c r="B32" s="17" t="str">
        <x:v>Y</x:v>
      </x:c>
      <x:c r="C32" s="16" t="str">
        <x:v>Completion in accordance with contract documents</x:v>
      </x:c>
      <x:c r="D32" s="16" t="str">
        <x:v>Base Scope</x:v>
      </x:c>
      <x:c r="E32" s="17" t="str"/>
    </x:row>
    <x:row r="33">
      <x:c r="A33" s="16" t="n">
        <x:v>29</x:v>
      </x:c>
      <x:c r="B33" s="17" t="str">
        <x:v>Y</x:v>
      </x:c>
      <x:c r="C33" s="16" t="str">
        <x:v>Protection pads for conduit and free-standing units</x:v>
      </x:c>
      <x:c r="D33" s="16" t="str">
        <x:v>Base Scope</x:v>
      </x:c>
      <x:c r="E33" s="17" t="str"/>
    </x:row>
    <x:row r="34">
      <x:c r="A34" s="16" t="n">
        <x:v>30</x:v>
      </x:c>
      <x:c r="B34" s="17" t="str">
        <x:v>Y</x:v>
      </x:c>
      <x:c r="C34" s="16" t="str">
        <x:v>Protective mat/membrane under existing satellite dishes</x:v>
      </x:c>
      <x:c r="D34" s="16" t="str">
        <x:v>Base Scope</x:v>
      </x:c>
      <x:c r="E34" s="17" t="str"/>
    </x:row>
    <x:row r="35">
      <x:c r="A35" s="16" t="n">
        <x:v>31</x:v>
      </x:c>
      <x:c r="B35" s="17" t="str">
        <x:v>Y</x:v>
      </x:c>
      <x:c r="C35" s="16" t="str">
        <x:v>Metal drip edge into gutter</x:v>
      </x:c>
      <x:c r="D35" s="16" t="str">
        <x:v>Base Scope</x:v>
      </x:c>
      <x:c r="E35" s="17" t="str"/>
    </x:row>
    <x:row r="36">
      <x:c r="A36" s="16" t="n">
        <x:v>32</x:v>
      </x:c>
      <x:c r="B36" s="17" t="str">
        <x:v>Y</x:v>
      </x:c>
      <x:c r="C36" s="16" t="str">
        <x:v>Work completion sign-off</x:v>
      </x:c>
      <x:c r="D36" s="16" t="str">
        <x:v>Base Scope</x:v>
      </x:c>
      <x:c r="E36" s="17" t="str"/>
    </x:row>
    <x:row r="37">
      <x:c r="A37" s="16" t="n">
        <x:v>33</x:v>
      </x:c>
      <x:c r="B37" s="17" t="str">
        <x:v>Y</x:v>
      </x:c>
      <x:c r="C37" s="16" t="str">
        <x:v>Tenant protection and interior debris cleanup</x:v>
      </x:c>
      <x:c r="D37" s="16" t="str">
        <x:v>Base Scope</x:v>
      </x:c>
      <x:c r="E37" s="17" t="str"/>
    </x:row>
    <x:row r="38">
      <x:c r="A38" s="16" t="n">
        <x:v>34</x:v>
      </x:c>
      <x:c r="B38" s="17" t="str">
        <x:v>Y</x:v>
      </x:c>
      <x:c r="C38" s="16" t="str">
        <x:v>Daily site cleanup</x:v>
      </x:c>
      <x:c r="D38" s="16" t="str">
        <x:v>Base Scope</x:v>
      </x:c>
      <x:c r="E38" s="17" t="str"/>
    </x:row>
    <x:row r="39">
      <x:c r="A39" s="16" t="n">
        <x:v>35</x:v>
      </x:c>
      <x:c r="B39" s="17" t="str">
        <x:v>Y</x:v>
      </x:c>
      <x:c r="C39" s="16" t="str">
        <x:v>Final cleanup; deliver blemish-free roof</x:v>
      </x:c>
      <x:c r="D39" s="16" t="str">
        <x:v>Base Scope</x:v>
      </x:c>
      <x:c r="E39" s="17" t="str"/>
    </x:row>
    <x:row r="40">
      <x:c r="A40" s="16" t="n">
        <x:v>36</x:v>
      </x:c>
      <x:c r="B40" s="17" t="str">
        <x:v>Y</x:v>
      </x:c>
      <x:c r="C40" s="16" t="str">
        <x:v>Stack-vent extension per code if required</x:v>
      </x:c>
      <x:c r="D40" s="16" t="str">
        <x:v>Base Scope</x:v>
      </x:c>
      <x:c r="E40" s="17" t="str"/>
    </x:row>
    <x:row r="41">
      <x:c r="A41" s="16" t="n">
        <x:v>37</x:v>
      </x:c>
      <x:c r="B41" s="17" t="str">
        <x:v>Y</x:v>
      </x:c>
      <x:c r="C41" s="16" t="str">
        <x:v>Responsibility for pre-existing structural/skylight/rooftop-equipment conditions</x:v>
      </x:c>
      <x:c r="D41" s="16" t="str">
        <x:v>Base Scope</x:v>
      </x:c>
      <x:c r="E41" s="17" t="str"/>
    </x:row>
    <x:row r="42">
      <x:c r="A42" s="16" t="n">
        <x:v>38</x:v>
      </x:c>
      <x:c r="B42" s="17" t="str">
        <x:v>Y</x:v>
      </x:c>
      <x:c r="C42" s="16" t="str">
        <x:v>Remove abandoned HVAC equipment identified by owner</x:v>
      </x:c>
      <x:c r="D42" s="16" t="str">
        <x:v>Base Scope</x:v>
      </x:c>
      <x:c r="E42" s="17" t="str"/>
    </x:row>
    <x:row r="43">
      <x:c r="A43" s="16" t="n">
        <x:v>39</x:v>
      </x:c>
      <x:c r="B43" s="17" t="str">
        <x:v>Y</x:v>
      </x:c>
      <x:c r="C43" s="16" t="str">
        <x:v>Scrape, prime and paint penetrations, stacks, vents, hatches and curb caps</x:v>
      </x:c>
      <x:c r="D43" s="16" t="str">
        <x:v>Base Scope</x:v>
      </x:c>
      <x:c r="E43" s="17" t="str"/>
    </x:row>
    <x:row r="44">
      <x:c r="A44" s="16" t="n">
        <x:v>40</x:v>
      </x:c>
      <x:c r="B44" s="17" t="str">
        <x:v>Y</x:v>
      </x:c>
      <x:c r="C44" s="16" t="str">
        <x:v>Paint gas lines safety yellow</x:v>
      </x:c>
      <x:c r="D44" s="16" t="str">
        <x:v>Base Scope</x:v>
      </x:c>
      <x:c r="E44" s="17" t="str"/>
    </x:row>
    <x:row r="45">
      <x:c r="A45" s="16" t="n">
        <x:v>41</x:v>
      </x:c>
      <x:c r="B45" s="17" t="str">
        <x:v>Y</x:v>
      </x:c>
      <x:c r="C45" s="16" t="str">
        <x:v>Manufacturer pull test</x:v>
      </x:c>
      <x:c r="D45" s="16" t="str">
        <x:v>Base Scope</x:v>
      </x:c>
      <x:c r="E45" s="17" t="str"/>
    </x:row>
    <x:row r="46">
      <x:c r="A46" s="16" t="n">
        <x:v>42</x:v>
      </x:c>
      <x:c r="B46" s="17" t="str">
        <x:v>Y</x:v>
      </x:c>
      <x:c r="C46" s="16" t="str">
        <x:v>Keep roof free of leaks before commencement</x:v>
      </x:c>
      <x:c r="D46" s="16" t="str">
        <x:v>Base Scope</x:v>
      </x:c>
      <x:c r="E46" s="17" t="str"/>
    </x:row>
    <x:row r="47">
      <x:c r="A47" s="16" t="n">
        <x:v>43</x:v>
      </x:c>
      <x:c r="B47" s="17" t="str">
        <x:v>Y</x:v>
      </x:c>
      <x:c r="C47" s="16" t="str">
        <x:v>Interim site photos and final drone photos</x:v>
      </x:c>
      <x:c r="D47" s="16" t="str">
        <x:v>Base Scope</x:v>
      </x:c>
      <x:c r="E47" s="17" t="str"/>
    </x:row>
    <x:row r="48">
      <x:c r="A48" s="16" t="n">
        <x:v>44</x:v>
      </x:c>
      <x:c r="B48" s="17" t="str">
        <x:v>Y</x:v>
      </x:c>
      <x:c r="C48" s="16" t="str">
        <x:v>Deliver new roof in blemish-free condition</x:v>
      </x:c>
      <x:c r="D48" s="16" t="str">
        <x:v>Base Scope</x:v>
      </x:c>
      <x:c r="E48" s="17" t="str"/>
    </x:row>
    <x:row r="49">
      <x:c r="A49" s="16" t="n">
        <x:v>45</x:v>
      </x:c>
      <x:c r="B49" s="17" t="str">
        <x:v>Y</x:v>
      </x:c>
      <x:c r="C49" s="16" t="str">
        <x:v>TPO walkway pads at roof hatch and major rooftop units</x:v>
      </x:c>
      <x:c r="D49" s="16" t="str">
        <x:v>Base Scope</x:v>
      </x:c>
      <x:c r="E49" s="17" t="str"/>
    </x:row>
    <x:row r="50">
      <x:c r="A50" s="16" t="n">
        <x:v>46</x:v>
      </x:c>
      <x:c r="B50" s="17" t="str">
        <x:v>Y</x:v>
      </x:c>
      <x:c r="C50" s="16" t="str">
        <x:v>Extend RTU condensate lines to drain or gutter system</x:v>
      </x:c>
      <x:c r="D50" s="16" t="str">
        <x:v>Base Scope</x:v>
      </x:c>
      <x:c r="E50" s="17" t="str"/>
    </x:row>
  </x:sheetData>
  <x:mergeCells>
    <x:mergeCell ref="A1:E1"/>
    <x:mergeCell ref="A2:E2"/>
  </x:mergeCells>
  <x:dataValidations count="1">
    <x:dataValidation type="list" sqref="B5:B50">
      <x:formula1>"Y,N"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9" hidden="0" customWidth="1"/>
    <x:col min="3" max="3" width="24" hidden="0" customWidth="1"/>
    <x:col min="4" max="4" width="14" hidden="0" customWidth="1"/>
    <x:col min="5" max="5" width="14" hidden="0" customWidth="1"/>
    <x:col min="6" max="6" width="48" hidden="0" customWidth="1"/>
  </x:cols>
  <x:sheetData>
    <x:row r="1" ht="30" customHeight="1">
      <x:c r="A1" s="4" t="str">
        <x:v>Pre-Issuance Checks</x:v>
      </x:c>
      <x:c r="B1" s="4" t="str">
        <x:v>Pre-Issuance Checks</x:v>
      </x:c>
      <x:c r="C1" s="4" t="str">
        <x:v>Pre-Issuance Checks</x:v>
      </x:c>
      <x:c r="D1" s="4" t="str">
        <x:v>Pre-Issuance Checks</x:v>
      </x:c>
      <x:c r="E1" s="4" t="str">
        <x:v>Pre-Issuance Checks</x:v>
      </x:c>
      <x:c r="F1" s="4" t="str">
        <x:v>Pre-Issuance Checks</x:v>
      </x:c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Difference</x:v>
      </x:c>
      <x:c r="E3" s="10" t="str">
        <x:v>Status</x:v>
      </x:c>
      <x:c r="F3" s="10" t="str">
        <x:v>Fix</x:v>
      </x:c>
    </x:row>
    <x:row r="4">
      <x:c r="A4" s="12" t="str">
        <x:v>Required project fields completed</x:v>
      </x:c>
      <x:c r="B4" s="12" t="n">
        <x:f>COUNTIFS('Project Input'!C5:C29,"Yes",'Project Input'!B5:B29,"")</x:f>
        <x:v>0</x:v>
      </x:c>
      <x:c r="C4" s="12" t="n">
        <x:v>0</x:v>
      </x:c>
      <x:c r="D4" s="12" t="n">
        <x:f>B4-C4</x:f>
        <x:v>0</x:v>
      </x:c>
      <x:c r="E4" s="19" t="str">
        <x:f>IF(D4=0,"OK","REVIEW")</x:f>
        <x:v>OK</x:v>
      </x:c>
      <x:c r="F4" s="12" t="str">
        <x:v>Complete required yellow cells</x:v>
      </x:c>
    </x:row>
    <x:row r="5">
      <x:c r="A5" s="12" t="str">
        <x:v>Project state vs. license state</x:v>
      </x:c>
      <x:c r="B5" s="12" t="str">
        <x:f>'Project Input'!B11</x:f>
        <x:v>MN</x:v>
      </x:c>
      <x:c r="C5" s="12" t="str">
        <x:f>'Project Input'!B18</x:f>
        <x:v>Minnesota</x:v>
      </x:c>
      <x:c r="D5" s="12" t="str"/>
      <x:c r="E5" s="19" t="str">
        <x:f>IF(OR(AND(B5="MN",C5="Minnesota"),B5=C5),"OK","REVIEW")</x:f>
        <x:v>OK</x:v>
      </x:c>
      <x:c r="F5" s="12" t="str">
        <x:v>Confirm contractor license state</x:v>
      </x:c>
    </x:row>
    <x:row r="6">
      <x:c r="A6" s="12" t="str">
        <x:v>Bid due is after RFP issue</x:v>
      </x:c>
      <x:c r="B6" s="12" t="str">
        <x:f>'Project Input'!B16</x:f>
        <x:v>2026-03-30 3:00 PM</x:v>
      </x:c>
      <x:c r="C6" s="12" t="str">
        <x:f>'Project Input'!B14</x:f>
        <x:v>2026-03-23</x:v>
      </x:c>
      <x:c r="D6" s="12" t="str"/>
      <x:c r="E6" s="19" t="str">
        <x:f>IF(B6&gt;C6,"OK","REVIEW")</x:f>
        <x:v>OK</x:v>
      </x:c>
      <x:c r="F6" s="12" t="str">
        <x:v>Move bid deadline after issue date</x:v>
      </x:c>
    </x:row>
    <x:row r="7">
      <x:c r="A7" s="12" t="str">
        <x:v>Roof area is positive</x:v>
      </x:c>
      <x:c r="B7" s="12" t="n">
        <x:f>'Project Input'!B13</x:f>
        <x:v>146000</x:v>
      </x:c>
      <x:c r="C7" s="12" t="n">
        <x:v>0</x:v>
      </x:c>
      <x:c r="D7" s="12" t="n">
        <x:f>B7-C7</x:f>
        <x:v>146000</x:v>
      </x:c>
      <x:c r="E7" s="19" t="str">
        <x:f>IF(B7&gt;0,"OK","REVIEW")</x:f>
        <x:v>OK</x:v>
      </x:c>
      <x:c r="F7" s="12" t="str">
        <x:v>Enter a positive roof area</x:v>
      </x:c>
    </x:row>
    <x:row r="8">
      <x:c r="A8" s="12" t="str">
        <x:v>ZIP code entered</x:v>
      </x:c>
      <x:c r="B8" s="12" t="str">
        <x:f>'Project Input'!B12</x:f>
        <x:v>55430</x:v>
      </x:c>
      <x:c r="C8" s="12" t="str">
        <x:v>Nonblank</x:v>
      </x:c>
      <x:c r="D8" s="12" t="str"/>
      <x:c r="E8" s="19" t="str">
        <x:f>IF(B8&lt;&gt;"","OK","REVIEW")</x:f>
        <x:v>OK</x:v>
      </x:c>
      <x:c r="F8" s="12" t="str">
        <x:v>Enter ZIP as text</x:v>
      </x:c>
    </x:row>
    <x:row r="9">
      <x:c r="A9" s="12" t="str">
        <x:v>Overall status</x:v>
      </x:c>
      <x:c r="B9" s="12" t="str"/>
      <x:c r="C9" s="12" t="str"/>
      <x:c r="D9" s="12" t="str"/>
      <x:c r="E9" s="19" t="str">
        <x:f>IF(COUNTIF(E4:E8,"REVIEW")=0,"READY","REVIEW")</x:f>
        <x:v>READY</x:v>
      </x:c>
      <x:c r="F9" s="12" t="str">
        <x:v>Resolve all REVIEW items before issuance</x:v>
      </x:c>
    </x:row>
  </x:sheetData>
  <x:mergeCells>
    <x:mergeCell ref="A1:F1"/>
  </x:mergeCells>
  <x:conditionalFormatting sqref="E4:E9">
    <x:cfRule type="containsText" dxfId="0" priority="1" operator="containsText" text="OK"/>
    <x:cfRule type="containsText" dxfId="1" priority="2" operator="containsText" text="READY"/>
    <x:cfRule type="containsText" dxfId="2" priority="3" operator="containsText" text="REVIEW"/>
  </x:conditionalFormatting>
  <x:pageMargins left="0.7" right="0.7" top="0.75" bottom="0.75" header="0.3" footer="0.3"/>
</x:worksheet>
</file>